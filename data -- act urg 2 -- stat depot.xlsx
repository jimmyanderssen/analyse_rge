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gpst\Documents\OTHER FILES\dossier stagiaire2\"/>
    </mc:Choice>
  </mc:AlternateContent>
  <xr:revisionPtr revIDLastSave="0" documentId="13_ncr:1_{39724469-64C5-4B22-ABF8-406AF6F46F46}" xr6:coauthVersionLast="47" xr6:coauthVersionMax="47" xr10:uidLastSave="{00000000-0000-0000-0000-000000000000}"/>
  <bookViews>
    <workbookView xWindow="-108" yWindow="-108" windowWidth="23256" windowHeight="13896" activeTab="1" xr2:uid="{7B123A79-4959-4156-9E46-EDF4010C3357}"/>
  </bookViews>
  <sheets>
    <sheet name="cotisDl_per ErRamls-merHaj old" sheetId="1" r:id="rId1"/>
    <sheet name="cotisDl_per ErRamls-merHa 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2" l="1"/>
  <c r="G22" i="2"/>
  <c r="D22" i="2"/>
  <c r="C22" i="2"/>
  <c r="B22" i="2"/>
  <c r="J21" i="2"/>
  <c r="G21" i="2"/>
  <c r="D21" i="2"/>
  <c r="C21" i="2"/>
  <c r="B21" i="2"/>
  <c r="H19" i="2"/>
  <c r="J18" i="2"/>
  <c r="G18" i="2"/>
  <c r="C18" i="2"/>
  <c r="H17" i="2"/>
  <c r="N16" i="2" s="1"/>
  <c r="J12" i="2"/>
  <c r="G12" i="2"/>
  <c r="D12" i="2"/>
  <c r="C12" i="2"/>
  <c r="B12" i="2"/>
  <c r="J11" i="2"/>
  <c r="G11" i="2"/>
  <c r="D11" i="2"/>
  <c r="C11" i="2"/>
  <c r="B11" i="2"/>
  <c r="Q10" i="2"/>
  <c r="O10" i="2"/>
  <c r="J10" i="2"/>
  <c r="G10" i="2"/>
  <c r="D10" i="2"/>
  <c r="C10" i="2"/>
  <c r="B10" i="2"/>
  <c r="O9" i="2"/>
  <c r="N9" i="2"/>
  <c r="J9" i="2"/>
  <c r="G9" i="2"/>
  <c r="D9" i="2"/>
  <c r="C9" i="2"/>
  <c r="O8" i="2"/>
  <c r="J8" i="2"/>
  <c r="G8" i="2"/>
  <c r="D8" i="2"/>
  <c r="C8" i="2"/>
  <c r="B8" i="2"/>
  <c r="O7" i="2"/>
  <c r="N7" i="2"/>
  <c r="J7" i="2"/>
  <c r="G7" i="2"/>
  <c r="D7" i="2"/>
  <c r="C7" i="2"/>
  <c r="B7" i="2"/>
  <c r="J6" i="2"/>
  <c r="G6" i="2"/>
  <c r="D6" i="2"/>
  <c r="C6" i="2"/>
  <c r="Q9" i="2" s="1" a="1"/>
  <c r="Q9" i="2" s="1"/>
  <c r="B6" i="2"/>
  <c r="J5" i="2"/>
  <c r="G5" i="2"/>
  <c r="D5" i="2"/>
  <c r="C5" i="2"/>
  <c r="P10" i="2" s="1"/>
  <c r="B5" i="2"/>
  <c r="I4" i="2"/>
  <c r="I5" i="2" s="1"/>
  <c r="J12" i="1"/>
  <c r="G12" i="1"/>
  <c r="D12" i="1"/>
  <c r="C12" i="1"/>
  <c r="B12" i="1"/>
  <c r="J11" i="1"/>
  <c r="G11" i="1"/>
  <c r="D11" i="1"/>
  <c r="C11" i="1"/>
  <c r="B11" i="1"/>
  <c r="O10" i="1"/>
  <c r="J10" i="1"/>
  <c r="G10" i="1"/>
  <c r="D10" i="1"/>
  <c r="C10" i="1"/>
  <c r="B10" i="1"/>
  <c r="O9" i="1"/>
  <c r="N9" i="1"/>
  <c r="J9" i="1"/>
  <c r="G9" i="1"/>
  <c r="D9" i="1"/>
  <c r="C9" i="1"/>
  <c r="O8" i="1"/>
  <c r="J8" i="1"/>
  <c r="G8" i="1"/>
  <c r="D8" i="1"/>
  <c r="C8" i="1"/>
  <c r="B8" i="1"/>
  <c r="O7" i="1"/>
  <c r="N7" i="1"/>
  <c r="J7" i="1"/>
  <c r="G7" i="1"/>
  <c r="D7" i="1"/>
  <c r="C7" i="1"/>
  <c r="B7" i="1"/>
  <c r="J6" i="1"/>
  <c r="G6" i="1"/>
  <c r="D6" i="1"/>
  <c r="C6" i="1"/>
  <c r="P9" i="1" s="1" a="1"/>
  <c r="P9" i="1" s="1"/>
  <c r="B6" i="1"/>
  <c r="J5" i="1"/>
  <c r="G5" i="1"/>
  <c r="D5" i="1"/>
  <c r="C5" i="1"/>
  <c r="Q8" i="1" s="1" a="1"/>
  <c r="Q8" i="1" s="1"/>
  <c r="B5" i="1"/>
  <c r="I4" i="1"/>
  <c r="I5" i="1" s="1"/>
  <c r="K5" i="2" l="1"/>
  <c r="I6" i="2"/>
  <c r="P7" i="2" a="1"/>
  <c r="P7" i="2" s="1"/>
  <c r="N10" i="2"/>
  <c r="N8" i="2"/>
  <c r="P8" i="2" a="1"/>
  <c r="P8" i="2" s="1"/>
  <c r="P9" i="2" a="1"/>
  <c r="P9" i="2" s="1"/>
  <c r="Q7" i="2" a="1"/>
  <c r="Q7" i="2" s="1"/>
  <c r="Q8" i="2" a="1"/>
  <c r="Q8" i="2" s="1"/>
  <c r="I6" i="1"/>
  <c r="K5" i="1"/>
  <c r="Q9" i="1" a="1"/>
  <c r="Q9" i="1" s="1"/>
  <c r="Q10" i="1"/>
  <c r="P7" i="1" a="1"/>
  <c r="P7" i="1" s="1"/>
  <c r="P8" i="1" a="1"/>
  <c r="P8" i="1" s="1"/>
  <c r="Q7" i="1" a="1"/>
  <c r="Q7" i="1" s="1"/>
  <c r="P10" i="1"/>
  <c r="N8" i="1"/>
  <c r="N10" i="1"/>
  <c r="K6" i="2" l="1"/>
  <c r="I7" i="2"/>
  <c r="K6" i="1"/>
  <c r="I7" i="1"/>
  <c r="I8" i="2" l="1"/>
  <c r="K7" i="2"/>
  <c r="I8" i="1"/>
  <c r="K7" i="1"/>
  <c r="I9" i="2" l="1"/>
  <c r="K8" i="2"/>
  <c r="K8" i="1"/>
  <c r="I9" i="1"/>
  <c r="I10" i="2" l="1"/>
  <c r="K9" i="2"/>
  <c r="K9" i="1"/>
  <c r="I10" i="1"/>
  <c r="I11" i="2" l="1"/>
  <c r="K10" i="2"/>
  <c r="I11" i="1"/>
  <c r="K10" i="1"/>
  <c r="I12" i="2" l="1"/>
  <c r="K11" i="2"/>
  <c r="K11" i="1"/>
  <c r="I12" i="1"/>
  <c r="K12" i="1" s="1"/>
  <c r="K12" i="2" l="1"/>
  <c r="I17" i="2"/>
  <c r="I18" i="2" s="1"/>
  <c r="I19" i="2" l="1"/>
  <c r="I20" i="2" s="1"/>
  <c r="I21" i="2" s="1"/>
  <c r="K18" i="2"/>
  <c r="I22" i="2" l="1"/>
  <c r="K22" i="2" s="1"/>
  <c r="K2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<sst xmlns="http://schemas.openxmlformats.org/spreadsheetml/2006/main" count="96" uniqueCount="41">
  <si>
    <t>Père Eric Ramilison &amp; Mère Haja Rambalo</t>
  </si>
  <si>
    <t>nom d'appelation</t>
  </si>
  <si>
    <t>montant recu</t>
  </si>
  <si>
    <t>date</t>
  </si>
  <si>
    <t>type de paiement</t>
  </si>
  <si>
    <t>info mvola</t>
  </si>
  <si>
    <t>Mvola Entrée</t>
  </si>
  <si>
    <t>Mvola Sortie</t>
  </si>
  <si>
    <t>Solde</t>
  </si>
  <si>
    <t>verif solde</t>
  </si>
  <si>
    <t>Solde Initial</t>
  </si>
  <si>
    <t>mvola</t>
  </si>
  <si>
    <t xml:space="preserve">Vous avez reçu: 5000, nom: Jean Raphael RAZAFIMAHALEO, tel: 037 21 624 38, le: 17/09/2026, à: 11:21, raison: , votre solde: 8377 , ref: 7363110807, </t>
  </si>
  <si>
    <t>reçu: 20550, nom: Mariel Ambratis, tel: 034 07 500 29, le: 17/09/26, à: 11:30, raison: mariel, solde: 28927, ref: 7363798861,</t>
  </si>
  <si>
    <t>Source</t>
  </si>
  <si>
    <t>Montant</t>
  </si>
  <si>
    <t>Effectif</t>
  </si>
  <si>
    <t>Maximum</t>
  </si>
  <si>
    <t>Minimum</t>
  </si>
  <si>
    <t>reçu: 12550, nom: Isabelle, tel: 034 38 832 74, le: 17/09/26, à: 12:52, raison: 5789, solde: 41477, ref: 7369218418,</t>
  </si>
  <si>
    <t>espece</t>
  </si>
  <si>
    <t>reçu: 41300, nom: Jeam Marie, tel: 034 52 639 24, le: 17/09/26, à: 14:26, raison: 20ar eric 20ar haja, solde: 82777, ref: 737465366,</t>
  </si>
  <si>
    <t>Oliva</t>
  </si>
  <si>
    <t>Autres transferts</t>
  </si>
  <si>
    <t>reçu: 40000, nom: randimbiariso, via: remitly, le: 17/09/26, à: 22:28, raison: , solde: , ref: 7400271863,</t>
  </si>
  <si>
    <t>transfert reçu: 31300, nom: Inc1, tel: Inc, le: 18/09/26, à: 10:28, raison: , solde: , ref: 7420038141,</t>
  </si>
  <si>
    <t>Total</t>
  </si>
  <si>
    <t>transfert reçu: 31300, nom: Inc2, tel: Inc, le: 18/09/26, à: 10:27, raison: , solde: , ref: 7419954570,</t>
  </si>
  <si>
    <t>transfert reçu: 15550, nom: Inc3, tel: Inc, le: 18/09/26, à: 10:24, raison: , solde: , ref: 7419767093,</t>
  </si>
  <si>
    <t>Jimmy Anderssen</t>
  </si>
  <si>
    <t>Damien</t>
  </si>
  <si>
    <t>Bernet</t>
  </si>
  <si>
    <t>Tsihosena</t>
  </si>
  <si>
    <t>Eric</t>
  </si>
  <si>
    <t>retrait</t>
  </si>
  <si>
    <t>RETRAIT PR FAMANGIANA ERIC RAMILISON</t>
  </si>
  <si>
    <t>reçu: 41300, nom: PM Ampandrana, tel: 034 98 442 27, le: 19/09/26, à: 15:33, raison: A, solde: 150327, ref: 7503873879</t>
  </si>
  <si>
    <t>Remboursement pr damien -20 000</t>
  </si>
  <si>
    <t>offre 1st Premium</t>
  </si>
  <si>
    <t>reçu: 5150, nom: niry liva, tel: 0345309284, le: 21/09/26, à: 12:43, raison: famangina, solde: 124677, ref: 7604339088,</t>
  </si>
  <si>
    <t>reçu: 10000, nom: eric jean michel, tel: 0349768234, le: 21/09/26, à: 12:46, raison: famanginara, solde: 134677, ref: 7604522539,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</si>
</sst>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??\ _€_-;_-@_-"/>
    <numFmt numFmtId="165" formatCode="_-* #,##0.00\ _€_-;\-* #,##0.00\ _€_-;_-* &quot;-&quot;??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6" tint="0.3999755851924192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20"/>
      <color theme="1" tint="0.34998626667073579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i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14" fontId="0" fillId="0" borderId="0" xfId="0" applyNumberFormat="1"/>
    <xf numFmtId="0" fontId="4" fillId="0" borderId="0" xfId="0" applyFont="1"/>
    <xf numFmtId="164" fontId="4" fillId="0" borderId="0" xfId="0" applyNumberFormat="1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 applyAlignment="1">
      <alignment vertical="center" wrapText="1"/>
    </xf>
    <xf numFmtId="14" fontId="6" fillId="0" borderId="0" xfId="0" applyNumberFormat="1" applyFont="1" applyAlignment="1">
      <alignment vertical="center" wrapText="1"/>
    </xf>
    <xf numFmtId="164" fontId="0" fillId="0" borderId="0" xfId="0" applyNumberFormat="1"/>
    <xf numFmtId="164" fontId="0" fillId="0" borderId="0" xfId="1" applyNumberFormat="1" applyFont="1"/>
    <xf numFmtId="0" fontId="2" fillId="0" borderId="0" xfId="0" applyFont="1"/>
    <xf numFmtId="14" fontId="0" fillId="2" borderId="0" xfId="0" applyNumberFormat="1" applyFill="1"/>
    <xf numFmtId="0" fontId="4" fillId="2" borderId="0" xfId="0" applyFont="1" applyFill="1"/>
    <xf numFmtId="164" fontId="2" fillId="0" borderId="0" xfId="0" applyNumberFormat="1" applyFont="1"/>
    <xf numFmtId="164" fontId="0" fillId="3" borderId="0" xfId="1" applyNumberFormat="1" applyFont="1" applyFill="1"/>
    <xf numFmtId="164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  <xf numFmtId="14" fontId="8" fillId="0" borderId="0" xfId="0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DEF9-C003-4F02-BB6C-0D553A51617E}">
  <dimension ref="A1:Q14"/>
  <sheetViews>
    <sheetView zoomScale="80" zoomScaleNormal="80" workbookViewId="0">
      <selection activeCell="I27" sqref="I27"/>
    </sheetView>
  </sheetViews>
  <sheetFormatPr baseColWidth="10" defaultRowHeight="14.4" x14ac:dyDescent="0.3"/>
  <cols>
    <col min="1" max="1" width="2.88671875" customWidth="1"/>
    <col min="2" max="2" width="22.5546875" customWidth="1"/>
    <col min="3" max="3" width="10.21875" customWidth="1"/>
    <col min="4" max="4" width="11.33203125" style="2" customWidth="1"/>
    <col min="6" max="6" width="54.21875" style="3" customWidth="1"/>
    <col min="7" max="7" width="11.5546875" style="3"/>
    <col min="8" max="8" width="6.77734375" style="3" customWidth="1"/>
    <col min="9" max="9" width="11.21875" style="3" customWidth="1"/>
    <col min="10" max="10" width="11.77734375" style="3" customWidth="1"/>
    <col min="11" max="11" width="10.33203125" style="3" customWidth="1"/>
    <col min="12" max="12" width="18.6640625" customWidth="1"/>
    <col min="13" max="13" width="18" customWidth="1"/>
    <col min="14" max="14" width="17.109375" style="5" customWidth="1"/>
    <col min="15" max="15" width="11.33203125" customWidth="1"/>
    <col min="16" max="16" width="14.5546875" customWidth="1"/>
  </cols>
  <sheetData>
    <row r="1" spans="1:17" x14ac:dyDescent="0.3">
      <c r="B1" s="1"/>
      <c r="H1" s="4"/>
      <c r="I1" s="4"/>
    </row>
    <row r="2" spans="1:17" ht="25.8" x14ac:dyDescent="0.5">
      <c r="C2" s="6" t="s">
        <v>0</v>
      </c>
    </row>
    <row r="3" spans="1:17" ht="36" x14ac:dyDescent="0.3">
      <c r="B3" s="7" t="s">
        <v>1</v>
      </c>
      <c r="C3" s="7" t="s">
        <v>2</v>
      </c>
      <c r="D3" s="8" t="s">
        <v>3</v>
      </c>
      <c r="E3" s="7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7" x14ac:dyDescent="0.3">
      <c r="B4" s="1" t="s">
        <v>10</v>
      </c>
      <c r="F4" s="4"/>
      <c r="G4" s="4"/>
      <c r="H4" s="4"/>
      <c r="I4" s="3">
        <f>3127</f>
        <v>3127</v>
      </c>
    </row>
    <row r="5" spans="1:17" x14ac:dyDescent="0.3">
      <c r="A5" s="9"/>
      <c r="B5" t="str">
        <f>LEFT(RIGHT(F5,LEN(F5)-FIND("nom: ",F5,1)-LEN("nom: ")+1),FIND(", tel: ",F5,1)-FIND("nom: ",F5,1)-LEN("nom: "))</f>
        <v>Jean Raphael RAZAFIMAHALEO</v>
      </c>
      <c r="C5" s="10">
        <f>VALUE(LEFT(RIGHT(F5,LEN(F5)-FIND("reçu: ",F5,1)-LEN("reçu: ")+1),FIND(", nom: ",F5,1)-FIND("reçu: ",F5,1)-LEN("reçu: ")))</f>
        <v>5000</v>
      </c>
      <c r="D5" s="2" t="str">
        <f>LEFT(RIGHT(F5,LEN(F5)-FIND(", le:",F5,1)-LEN(", le")),11)</f>
        <v xml:space="preserve"> 17/09/2026</v>
      </c>
      <c r="E5" s="2" t="s">
        <v>11</v>
      </c>
      <c r="F5" s="3" t="s">
        <v>12</v>
      </c>
      <c r="G5" s="4">
        <f>LEFT(RIGHT(F5,LEN(F5)-FIND("reçu: ",F5,1)-LEN("reçu: ")+1),FIND(", nom: ",F5,1)-FIND("reçu: ",F5,1)-LEN("reçu: "))+250</f>
        <v>5250</v>
      </c>
      <c r="H5" s="4"/>
      <c r="I5" s="4">
        <f>I4+G5-H5</f>
        <v>8377</v>
      </c>
      <c r="J5" s="3" t="str">
        <f>LEFT(RIGHT(F5,LEN(F5)-FIND("solde: ",F5,1)-LEN("solde: ")+1),FIND(", ref: ",F5,1)-FIND("solde: ",F5,1)-LEN("solde: "))</f>
        <v xml:space="preserve">8377 </v>
      </c>
      <c r="K5" s="4">
        <f>I5-VALUE(J5)</f>
        <v>0</v>
      </c>
    </row>
    <row r="6" spans="1:17" x14ac:dyDescent="0.3">
      <c r="A6" s="9"/>
      <c r="B6" t="str">
        <f>LEFT(RIGHT(F6,LEN(F6)-FIND("nom: ",F6,1)-LEN("nom: ")+1),FIND(", tel: ",F6,1)-FIND("nom: ",F6,1)-LEN("nom: "))</f>
        <v>Mariel Ambratis</v>
      </c>
      <c r="C6" s="10">
        <f t="shared" ref="C6:C12" si="0">VALUE(LEFT(RIGHT(F6,LEN(F6)-FIND("reçu: ",F6,1)-LEN("reçu: ")+1),FIND(", nom: ",F6,1)-FIND("reçu: ",F6,1)-LEN("reçu: ")))</f>
        <v>20550</v>
      </c>
      <c r="D6" s="2" t="str">
        <f>LEFT(RIGHT(F6,LEN(F6)-FIND(", le:",F6,1)-LEN(", le")),11)</f>
        <v xml:space="preserve"> 17/09/26, </v>
      </c>
      <c r="E6" s="2" t="s">
        <v>11</v>
      </c>
      <c r="F6" s="3" t="s">
        <v>13</v>
      </c>
      <c r="G6" s="3" t="str">
        <f>LEFT(RIGHT(F6,LEN(F6)-FIND("reçu: ",F6,1)-LEN("reçu: ")+1),FIND(", nom: ",F6,1)-FIND("reçu: ",F6,1)-LEN("reçu: "))</f>
        <v>20550</v>
      </c>
      <c r="I6" s="4">
        <f>I5+G6-H6</f>
        <v>28927</v>
      </c>
      <c r="J6" s="3" t="str">
        <f>LEFT(RIGHT(F6,LEN(F6)-FIND("solde: ",F6,1)-LEN("solde: ")+1),FIND(", ref: ",F6,1)-FIND("solde: ",F6,1)-LEN("solde: "))</f>
        <v>28927</v>
      </c>
      <c r="K6" s="4">
        <f>I6-VALUE(J6)</f>
        <v>0</v>
      </c>
      <c r="M6" s="11" t="s">
        <v>14</v>
      </c>
      <c r="N6" s="11" t="s">
        <v>15</v>
      </c>
      <c r="O6" s="11" t="s">
        <v>16</v>
      </c>
      <c r="P6" s="11" t="s">
        <v>17</v>
      </c>
      <c r="Q6" s="11" t="s">
        <v>18</v>
      </c>
    </row>
    <row r="7" spans="1:17" x14ac:dyDescent="0.3">
      <c r="A7" s="9"/>
      <c r="B7" t="str">
        <f t="shared" ref="B7:B8" si="1">LEFT(RIGHT(F7,LEN(F7)-FIND("nom: ",F7,1)-LEN("nom: ")+1),FIND(", tel: ",F7,1)-FIND("nom: ",F7,1)-LEN("nom: "))</f>
        <v>Isabelle</v>
      </c>
      <c r="C7" s="10">
        <f t="shared" si="0"/>
        <v>12550</v>
      </c>
      <c r="D7" s="2" t="str">
        <f t="shared" ref="D7:D12" si="2">LEFT(RIGHT(F7,LEN(F7)-FIND(", le:",F7,1)-LEN(", le")),11)</f>
        <v xml:space="preserve"> 17/09/26, </v>
      </c>
      <c r="E7" s="2" t="s">
        <v>11</v>
      </c>
      <c r="F7" s="3" t="s">
        <v>19</v>
      </c>
      <c r="G7" s="3" t="str">
        <f t="shared" ref="G7:G12" si="3">LEFT(RIGHT(F7,LEN(F7)-FIND("reçu: ",F7,1)-LEN("reçu: ")+1),FIND(", nom: ",F7,1)-FIND("reçu: ",F7,1)-LEN("reçu: "))</f>
        <v>12550</v>
      </c>
      <c r="I7" s="4">
        <f t="shared" ref="I7:I8" si="4">I6+G7-H7</f>
        <v>41477</v>
      </c>
      <c r="J7" s="3" t="str">
        <f t="shared" ref="J7:J8" si="5">LEFT(RIGHT(F7,LEN(F7)-FIND("solde: ",F7,1)-LEN("solde: ")+1),FIND(", ref: ",F7,1)-FIND("solde: ",F7,1)-LEN("solde: "))</f>
        <v>41477</v>
      </c>
      <c r="K7" s="4">
        <f t="shared" ref="K7:K12" si="6">I7-VALUE(J7)</f>
        <v>0</v>
      </c>
      <c r="M7" t="s">
        <v>20</v>
      </c>
      <c r="N7" s="9">
        <f>SUMIF($E$5:$E$41,M7,$C$5:$C$41)</f>
        <v>20000</v>
      </c>
      <c r="O7">
        <f>COUNTIF($E$5:$E$41,M7)</f>
        <v>1</v>
      </c>
      <c r="P7" s="9" cm="1">
        <f t="array" ref="P7">MAX(IF($E$5:$E$25=M7,$C$5:$C$25))</f>
        <v>20000</v>
      </c>
      <c r="Q7" s="9" cm="1">
        <f t="array" ref="Q7">MIN(IF($E$5:$E$25=M7,$C$5:$C$25))</f>
        <v>20000</v>
      </c>
    </row>
    <row r="8" spans="1:17" x14ac:dyDescent="0.3">
      <c r="A8" s="9"/>
      <c r="B8" t="str">
        <f t="shared" si="1"/>
        <v>Jeam Marie</v>
      </c>
      <c r="C8" s="10">
        <f t="shared" si="0"/>
        <v>41300</v>
      </c>
      <c r="D8" s="2" t="str">
        <f t="shared" si="2"/>
        <v xml:space="preserve"> 17/09/26, </v>
      </c>
      <c r="E8" s="2" t="s">
        <v>11</v>
      </c>
      <c r="F8" s="3" t="s">
        <v>21</v>
      </c>
      <c r="G8" s="3" t="str">
        <f t="shared" si="3"/>
        <v>41300</v>
      </c>
      <c r="I8" s="4">
        <f t="shared" si="4"/>
        <v>82777</v>
      </c>
      <c r="J8" s="3" t="str">
        <f t="shared" si="5"/>
        <v>82777</v>
      </c>
      <c r="K8" s="4">
        <f t="shared" si="6"/>
        <v>0</v>
      </c>
      <c r="M8" t="s">
        <v>11</v>
      </c>
      <c r="N8" s="9">
        <f>SUMIF($E$5:$E$41,M8,$C$5:$C$41)</f>
        <v>157550</v>
      </c>
      <c r="O8">
        <f>COUNTIF($E$5:$E$41,M8)</f>
        <v>7</v>
      </c>
      <c r="P8" s="9" cm="1">
        <f t="array" ref="P8">MAX(IF($E$5:$E$25=M8,$C$5:$C$25))</f>
        <v>41300</v>
      </c>
      <c r="Q8" s="9" cm="1">
        <f t="array" ref="Q8">MIN(IF($E$5:$E$25=M8,$C$5:$C$25))</f>
        <v>5000</v>
      </c>
    </row>
    <row r="9" spans="1:17" x14ac:dyDescent="0.3">
      <c r="A9" s="9"/>
      <c r="B9" s="12" t="s">
        <v>22</v>
      </c>
      <c r="C9" s="10">
        <f t="shared" si="0"/>
        <v>40000</v>
      </c>
      <c r="D9" s="2" t="str">
        <f t="shared" si="2"/>
        <v xml:space="preserve"> 17/09/26, </v>
      </c>
      <c r="E9" s="12" t="s">
        <v>23</v>
      </c>
      <c r="F9" s="3" t="s">
        <v>24</v>
      </c>
      <c r="G9" s="3" t="str">
        <f t="shared" si="3"/>
        <v>40000</v>
      </c>
      <c r="I9" s="4">
        <f>I8+G9-H9</f>
        <v>122777</v>
      </c>
      <c r="J9" s="13" t="str">
        <f>LEFT(RIGHT(F9,LEN(F9)-FIND("solde: ",F9,1)-LEN("solde: ")+1),FIND(", ref: ",F9,1)-FIND("solde: ",F9,1)-LEN("solde: "))</f>
        <v/>
      </c>
      <c r="K9" s="4" t="e">
        <f t="shared" si="6"/>
        <v>#VALUE!</v>
      </c>
      <c r="M9" t="s">
        <v>23</v>
      </c>
      <c r="N9" s="9">
        <f>SUMIF($E$5:$E$41,M9,$C$5:$C$41)</f>
        <v>40000</v>
      </c>
      <c r="O9">
        <f>COUNTIF($E$5:$E$41,M9)</f>
        <v>1</v>
      </c>
      <c r="P9" s="9" cm="1">
        <f t="array" ref="P9">MAX(IF($E$5:$E$25=M9,$C$5:$C$25))</f>
        <v>40000</v>
      </c>
      <c r="Q9" s="9" cm="1">
        <f t="array" ref="Q9">MIN(IF($E$5:$E$25=M9,$C$5:$C$25))</f>
        <v>40000</v>
      </c>
    </row>
    <row r="10" spans="1:17" x14ac:dyDescent="0.3">
      <c r="A10" s="9"/>
      <c r="B10" t="str">
        <f t="shared" ref="B10:B12" si="7">LEFT(RIGHT(F10,LEN(F10)-FIND("nom: ",F10,1)-LEN("nom: ")+1),FIND(", tel: ",F10,1)-FIND("nom: ",F10,1)-LEN("nom: "))</f>
        <v>Inc1</v>
      </c>
      <c r="C10" s="10">
        <f t="shared" si="0"/>
        <v>31300</v>
      </c>
      <c r="D10" s="2" t="str">
        <f t="shared" si="2"/>
        <v xml:space="preserve"> 18/09/26, </v>
      </c>
      <c r="E10" s="12" t="s">
        <v>11</v>
      </c>
      <c r="F10" s="3" t="s">
        <v>25</v>
      </c>
      <c r="G10" s="3" t="str">
        <f t="shared" si="3"/>
        <v>31300</v>
      </c>
      <c r="I10" s="4">
        <f t="shared" ref="I10:I12" si="8">I9+G10-H10</f>
        <v>154077</v>
      </c>
      <c r="J10" s="13" t="str">
        <f t="shared" ref="J10:J12" si="9">LEFT(RIGHT(F10,LEN(F10)-FIND("solde: ",F10,1)-LEN("solde: ")+1),FIND(", ref: ",F10,1)-FIND("solde: ",F10,1)-LEN("solde: "))</f>
        <v/>
      </c>
      <c r="K10" s="4" t="e">
        <f t="shared" si="6"/>
        <v>#VALUE!</v>
      </c>
      <c r="M10" s="11" t="s">
        <v>26</v>
      </c>
      <c r="N10" s="14">
        <f>SUM($C$5:$C$41)</f>
        <v>217550</v>
      </c>
      <c r="O10" s="11">
        <f>COUNTA($E$5:$E$41)</f>
        <v>9</v>
      </c>
      <c r="P10" s="9">
        <f>MAX(C5:C25)</f>
        <v>41300</v>
      </c>
      <c r="Q10" s="9">
        <f>MIN(C5:C25)</f>
        <v>5000</v>
      </c>
    </row>
    <row r="11" spans="1:17" x14ac:dyDescent="0.3">
      <c r="A11" s="9"/>
      <c r="B11" t="str">
        <f t="shared" si="7"/>
        <v>Inc2</v>
      </c>
      <c r="C11" s="10">
        <f t="shared" si="0"/>
        <v>31300</v>
      </c>
      <c r="D11" s="2" t="str">
        <f t="shared" si="2"/>
        <v xml:space="preserve"> 18/09/26, </v>
      </c>
      <c r="E11" s="12" t="s">
        <v>11</v>
      </c>
      <c r="F11" s="3" t="s">
        <v>27</v>
      </c>
      <c r="G11" s="3" t="str">
        <f t="shared" si="3"/>
        <v>31300</v>
      </c>
      <c r="I11" s="4">
        <f t="shared" si="8"/>
        <v>185377</v>
      </c>
      <c r="J11" s="13" t="str">
        <f t="shared" si="9"/>
        <v/>
      </c>
      <c r="K11" s="4" t="e">
        <f t="shared" si="6"/>
        <v>#VALUE!</v>
      </c>
    </row>
    <row r="12" spans="1:17" x14ac:dyDescent="0.3">
      <c r="A12" s="9"/>
      <c r="B12" t="str">
        <f t="shared" si="7"/>
        <v>Inc3</v>
      </c>
      <c r="C12" s="10">
        <f t="shared" si="0"/>
        <v>15550</v>
      </c>
      <c r="D12" s="2" t="str">
        <f t="shared" si="2"/>
        <v xml:space="preserve"> 18/09/26, </v>
      </c>
      <c r="E12" s="12" t="s">
        <v>11</v>
      </c>
      <c r="F12" s="3" t="s">
        <v>28</v>
      </c>
      <c r="G12" s="3" t="str">
        <f t="shared" si="3"/>
        <v>15550</v>
      </c>
      <c r="I12" s="4">
        <f t="shared" si="8"/>
        <v>200927</v>
      </c>
      <c r="J12" s="13" t="str">
        <f t="shared" si="9"/>
        <v/>
      </c>
      <c r="K12" s="4" t="e">
        <f t="shared" si="6"/>
        <v>#VALUE!</v>
      </c>
    </row>
    <row r="13" spans="1:17" x14ac:dyDescent="0.3">
      <c r="B13" t="s">
        <v>29</v>
      </c>
      <c r="C13" s="10">
        <v>20000</v>
      </c>
      <c r="D13" s="2">
        <v>46284</v>
      </c>
      <c r="E13" s="2" t="s">
        <v>20</v>
      </c>
      <c r="I13" s="4"/>
    </row>
    <row r="14" spans="1:17" x14ac:dyDescent="0.3">
      <c r="C14" s="10"/>
      <c r="E14" s="2"/>
      <c r="I14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A641-99DD-41CE-820B-2652E3485A88}">
  <dimension ref="A1:Q22"/>
  <sheetViews>
    <sheetView tabSelected="1" zoomScale="80" zoomScaleNormal="80" workbookViewId="0">
      <selection activeCell="F33" sqref="F33"/>
    </sheetView>
  </sheetViews>
  <sheetFormatPr baseColWidth="10" defaultRowHeight="14.4" x14ac:dyDescent="0.3"/>
  <cols>
    <col min="1" max="1" width="2.88671875" customWidth="1"/>
    <col min="2" max="2" width="22.5546875" customWidth="1"/>
    <col min="3" max="3" width="10.21875" customWidth="1"/>
    <col min="4" max="4" width="11.33203125" style="2" customWidth="1"/>
    <col min="6" max="6" width="104.6640625" style="3" customWidth="1"/>
    <col min="7" max="7" width="11.5546875" style="3"/>
    <col min="8" max="8" width="10.109375" style="3" customWidth="1"/>
    <col min="9" max="9" width="11.21875" style="3" customWidth="1"/>
    <col min="10" max="10" width="11.77734375" style="3" customWidth="1"/>
    <col min="11" max="11" width="10.33203125" style="3" customWidth="1"/>
    <col min="12" max="12" width="18.6640625" customWidth="1"/>
    <col min="13" max="13" width="18" customWidth="1"/>
    <col min="14" max="14" width="17.109375" style="5" customWidth="1"/>
    <col min="15" max="15" width="11.33203125" customWidth="1"/>
    <col min="16" max="16" width="14.5546875" customWidth="1"/>
  </cols>
  <sheetData>
    <row r="1" spans="1:17" x14ac:dyDescent="0.3">
      <c r="B1" s="1"/>
      <c r="H1" s="4"/>
      <c r="I1" s="4"/>
    </row>
    <row r="2" spans="1:17" ht="25.8" x14ac:dyDescent="0.5">
      <c r="C2" s="6" t="s">
        <v>0</v>
      </c>
    </row>
    <row r="3" spans="1:17" ht="36" x14ac:dyDescent="0.3">
      <c r="B3" s="7" t="s">
        <v>1</v>
      </c>
      <c r="C3" s="7" t="s">
        <v>2</v>
      </c>
      <c r="D3" s="8" t="s">
        <v>3</v>
      </c>
      <c r="E3" s="7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7" x14ac:dyDescent="0.3">
      <c r="B4" s="1" t="s">
        <v>10</v>
      </c>
      <c r="F4" s="4"/>
      <c r="G4" s="4"/>
      <c r="H4" s="4"/>
      <c r="I4" s="3">
        <f>3127</f>
        <v>3127</v>
      </c>
    </row>
    <row r="5" spans="1:17" x14ac:dyDescent="0.3">
      <c r="A5" s="9"/>
      <c r="B5" t="str">
        <f>LEFT(RIGHT(F5,LEN(F5)-FIND("nom: ",F5,1)-LEN("nom: ")+1),FIND(", tel: ",F5,1)-FIND("nom: ",F5,1)-LEN("nom: "))</f>
        <v>Jean Raphael RAZAFIMAHALEO</v>
      </c>
      <c r="C5" s="10">
        <f>VALUE(LEFT(RIGHT(F5,LEN(F5)-FIND("reçu: ",F5,1)-LEN("reçu: ")+1),FIND(", nom: ",F5,1)-FIND("reçu: ",F5,1)-LEN("reçu: ")))</f>
        <v>5000</v>
      </c>
      <c r="D5" s="2" t="str">
        <f>LEFT(RIGHT(F5,LEN(F5)-FIND(", le:",F5,1)-LEN(", le")),11)</f>
        <v xml:space="preserve"> 17/09/2026</v>
      </c>
      <c r="E5" s="2" t="s">
        <v>11</v>
      </c>
      <c r="F5" s="3" t="s">
        <v>12</v>
      </c>
      <c r="G5" s="4">
        <f>LEFT(RIGHT(F5,LEN(F5)-FIND("reçu: ",F5,1)-LEN("reçu: ")+1),FIND(", nom: ",F5,1)-FIND("reçu: ",F5,1)-LEN("reçu: "))+250</f>
        <v>5250</v>
      </c>
      <c r="H5" s="4"/>
      <c r="I5" s="4">
        <f>I4+G5-H5</f>
        <v>8377</v>
      </c>
      <c r="J5" s="3" t="str">
        <f>LEFT(RIGHT(F5,LEN(F5)-FIND("solde: ",F5,1)-LEN("solde: ")+1),FIND(", ref: ",F5,1)-FIND("solde: ",F5,1)-LEN("solde: "))</f>
        <v xml:space="preserve">8377 </v>
      </c>
      <c r="K5" s="4">
        <f>I5-VALUE(J5)</f>
        <v>0</v>
      </c>
    </row>
    <row r="6" spans="1:17" x14ac:dyDescent="0.3">
      <c r="A6" s="9"/>
      <c r="B6" t="str">
        <f>LEFT(RIGHT(F6,LEN(F6)-FIND("nom: ",F6,1)-LEN("nom: ")+1),FIND(", tel: ",F6,1)-FIND("nom: ",F6,1)-LEN("nom: "))</f>
        <v>Mariel Ambratis</v>
      </c>
      <c r="C6" s="10">
        <f t="shared" ref="C6:C12" si="0">VALUE(LEFT(RIGHT(F6,LEN(F6)-FIND("reçu: ",F6,1)-LEN("reçu: ")+1),FIND(", nom: ",F6,1)-FIND("reçu: ",F6,1)-LEN("reçu: ")))</f>
        <v>20550</v>
      </c>
      <c r="D6" s="2" t="str">
        <f>LEFT(RIGHT(F6,LEN(F6)-FIND(", le:",F6,1)-LEN(", le")),11)</f>
        <v xml:space="preserve"> 17/09/26, </v>
      </c>
      <c r="E6" s="2" t="s">
        <v>11</v>
      </c>
      <c r="F6" s="3" t="s">
        <v>13</v>
      </c>
      <c r="G6" s="4" t="str">
        <f>LEFT(RIGHT(F6,LEN(F6)-FIND("reçu: ",F6,1)-LEN("reçu: ")+1),FIND(", nom: ",F6,1)-FIND("reçu: ",F6,1)-LEN("reçu: "))</f>
        <v>20550</v>
      </c>
      <c r="H6" s="4"/>
      <c r="I6" s="4">
        <f>I5+G6-H6</f>
        <v>28927</v>
      </c>
      <c r="J6" s="3" t="str">
        <f>LEFT(RIGHT(F6,LEN(F6)-FIND("solde: ",F6,1)-LEN("solde: ")+1),FIND(", ref: ",F6,1)-FIND("solde: ",F6,1)-LEN("solde: "))</f>
        <v>28927</v>
      </c>
      <c r="K6" s="4">
        <f>I6-VALUE(J6)</f>
        <v>0</v>
      </c>
      <c r="M6" s="11" t="s">
        <v>14</v>
      </c>
      <c r="N6" s="11" t="s">
        <v>15</v>
      </c>
      <c r="O6" s="11" t="s">
        <v>16</v>
      </c>
      <c r="P6" s="11" t="s">
        <v>17</v>
      </c>
      <c r="Q6" s="11" t="s">
        <v>18</v>
      </c>
    </row>
    <row r="7" spans="1:17" x14ac:dyDescent="0.3">
      <c r="A7" s="9"/>
      <c r="B7" t="str">
        <f t="shared" ref="B7:B12" si="1">LEFT(RIGHT(F7,LEN(F7)-FIND("nom: ",F7,1)-LEN("nom: ")+1),FIND(", tel: ",F7,1)-FIND("nom: ",F7,1)-LEN("nom: "))</f>
        <v>Isabelle</v>
      </c>
      <c r="C7" s="10">
        <f t="shared" si="0"/>
        <v>12550</v>
      </c>
      <c r="D7" s="2" t="str">
        <f t="shared" ref="D7:D12" si="2">LEFT(RIGHT(F7,LEN(F7)-FIND(", le:",F7,1)-LEN(", le")),11)</f>
        <v xml:space="preserve"> 17/09/26, </v>
      </c>
      <c r="E7" s="2" t="s">
        <v>11</v>
      </c>
      <c r="F7" s="3" t="s">
        <v>19</v>
      </c>
      <c r="G7" s="4" t="str">
        <f t="shared" ref="G7:G12" si="3">LEFT(RIGHT(F7,LEN(F7)-FIND("reçu: ",F7,1)-LEN("reçu: ")+1),FIND(", nom: ",F7,1)-FIND("reçu: ",F7,1)-LEN("reçu: "))</f>
        <v>12550</v>
      </c>
      <c r="H7" s="4"/>
      <c r="I7" s="4">
        <f t="shared" ref="I7" si="4">I6+G7-H7</f>
        <v>41477</v>
      </c>
      <c r="J7" s="3" t="str">
        <f t="shared" ref="J7:J8" si="5">LEFT(RIGHT(F7,LEN(F7)-FIND("solde: ",F7,1)-LEN("solde: ")+1),FIND(", ref: ",F7,1)-FIND("solde: ",F7,1)-LEN("solde: "))</f>
        <v>41477</v>
      </c>
      <c r="K7" s="4">
        <f t="shared" ref="K7:K12" si="6">I7-VALUE(J7)</f>
        <v>0</v>
      </c>
      <c r="M7" t="s">
        <v>20</v>
      </c>
      <c r="N7" s="9">
        <f>SUMIF($E$5:$E$42,M7,$C$5:$C$42)</f>
        <v>40000</v>
      </c>
      <c r="O7">
        <f>COUNTIF($E$5:$E$42,M7)</f>
        <v>3</v>
      </c>
      <c r="P7" s="9" cm="1">
        <f t="array" ref="P7">MAX(IF($E$5:$E$26=M7,$C$5:$C$26))</f>
        <v>20000</v>
      </c>
      <c r="Q7" s="9" cm="1">
        <f t="array" ref="Q7">MIN(IF($E$5:$E$26=M7,$C$5:$C$26))</f>
        <v>10000</v>
      </c>
    </row>
    <row r="8" spans="1:17" x14ac:dyDescent="0.3">
      <c r="A8" s="9"/>
      <c r="B8" t="str">
        <f t="shared" si="1"/>
        <v>Jeam Marie</v>
      </c>
      <c r="C8" s="10">
        <f t="shared" si="0"/>
        <v>41300</v>
      </c>
      <c r="D8" s="2" t="str">
        <f t="shared" si="2"/>
        <v xml:space="preserve"> 17/09/26, </v>
      </c>
      <c r="E8" s="2" t="s">
        <v>11</v>
      </c>
      <c r="F8" s="3" t="s">
        <v>21</v>
      </c>
      <c r="G8" s="4" t="str">
        <f t="shared" si="3"/>
        <v>41300</v>
      </c>
      <c r="H8" s="4"/>
      <c r="I8" s="4">
        <f>I7+G8-H8</f>
        <v>82777</v>
      </c>
      <c r="J8" s="3" t="str">
        <f t="shared" si="5"/>
        <v>82777</v>
      </c>
      <c r="K8" s="4">
        <f t="shared" si="6"/>
        <v>0</v>
      </c>
      <c r="M8" t="s">
        <v>11</v>
      </c>
      <c r="N8" s="9">
        <f>SUMIF($E$5:$E$42,M8,$C$5:$C$42)</f>
        <v>212700</v>
      </c>
      <c r="O8">
        <f>COUNTIF($E$5:$E$42,M8)</f>
        <v>10</v>
      </c>
      <c r="P8" s="9" cm="1">
        <f t="array" ref="P8">MAX(IF($E$5:$E$26=M8,$C$5:$C$26))</f>
        <v>41300</v>
      </c>
      <c r="Q8" s="9" cm="1">
        <f t="array" ref="Q8">MIN(IF($E$5:$E$26=M8,$C$5:$C$26))</f>
        <v>5000</v>
      </c>
    </row>
    <row r="9" spans="1:17" x14ac:dyDescent="0.3">
      <c r="A9" s="9"/>
      <c r="B9" s="12" t="s">
        <v>22</v>
      </c>
      <c r="C9" s="10">
        <f t="shared" si="0"/>
        <v>40000</v>
      </c>
      <c r="D9" s="2" t="str">
        <f t="shared" si="2"/>
        <v xml:space="preserve"> 17/09/26, </v>
      </c>
      <c r="E9" s="12" t="s">
        <v>23</v>
      </c>
      <c r="F9" s="3" t="s">
        <v>24</v>
      </c>
      <c r="G9" s="4" t="str">
        <f t="shared" si="3"/>
        <v>40000</v>
      </c>
      <c r="H9" s="4"/>
      <c r="I9" s="4">
        <f>I8+G9-H9</f>
        <v>122777</v>
      </c>
      <c r="J9" s="13" t="str">
        <f>LEFT(RIGHT(F9,LEN(F9)-FIND("solde: ",F9,1)-LEN("solde: ")+1),FIND(", ref: ",F9,1)-FIND("solde: ",F9,1)-LEN("solde: "))</f>
        <v/>
      </c>
      <c r="K9" s="4" t="e">
        <f t="shared" si="6"/>
        <v>#VALUE!</v>
      </c>
      <c r="M9" t="s">
        <v>23</v>
      </c>
      <c r="N9" s="9">
        <f>SUMIF($E$5:$E$42,M9,$C$5:$C$42)</f>
        <v>40000</v>
      </c>
      <c r="O9">
        <f>COUNTIF($E$5:$E$42,M9)</f>
        <v>1</v>
      </c>
      <c r="P9" s="9" cm="1">
        <f t="array" ref="P9">MAX(IF($E$5:$E$26=M9,$C$5:$C$26))</f>
        <v>40000</v>
      </c>
      <c r="Q9" s="9" cm="1">
        <f t="array" ref="Q9">MIN(IF($E$5:$E$26=M9,$C$5:$C$26))</f>
        <v>40000</v>
      </c>
    </row>
    <row r="10" spans="1:17" x14ac:dyDescent="0.3">
      <c r="A10" s="9"/>
      <c r="B10" t="str">
        <f t="shared" ref="B10:B15" si="7">LEFT(RIGHT(F10,LEN(F10)-FIND("nom: ",F10,1)-LEN("nom: ")+1),FIND(", tel: ",F10,1)-FIND("nom: ",F10,1)-LEN("nom: "))</f>
        <v>Inc1</v>
      </c>
      <c r="C10" s="10">
        <f t="shared" si="0"/>
        <v>31300</v>
      </c>
      <c r="D10" s="2" t="str">
        <f t="shared" si="2"/>
        <v xml:space="preserve"> 18/09/26, </v>
      </c>
      <c r="E10" s="12" t="s">
        <v>11</v>
      </c>
      <c r="F10" s="3" t="s">
        <v>25</v>
      </c>
      <c r="G10" s="4" t="str">
        <f t="shared" si="3"/>
        <v>31300</v>
      </c>
      <c r="H10" s="4"/>
      <c r="I10" s="4">
        <f t="shared" ref="I10:I11" si="8">I9+G10-H10</f>
        <v>154077</v>
      </c>
      <c r="J10" s="13" t="str">
        <f t="shared" ref="J10:J12" si="9">LEFT(RIGHT(F10,LEN(F10)-FIND("solde: ",F10,1)-LEN("solde: ")+1),FIND(", ref: ",F10,1)-FIND("solde: ",F10,1)-LEN("solde: "))</f>
        <v/>
      </c>
      <c r="K10" s="4" t="e">
        <f t="shared" si="6"/>
        <v>#VALUE!</v>
      </c>
      <c r="M10" s="11" t="s">
        <v>26</v>
      </c>
      <c r="N10" s="14">
        <f>SUM($C$5:$C$42)</f>
        <v>312700</v>
      </c>
      <c r="O10" s="11">
        <f>COUNTA($E$5:$E$42)</f>
        <v>14</v>
      </c>
      <c r="P10" s="9">
        <f>MAX(C5:C26)</f>
        <v>41300</v>
      </c>
      <c r="Q10" s="9">
        <f>MIN(C5:C26)</f>
        <v>5000</v>
      </c>
    </row>
    <row r="11" spans="1:17" x14ac:dyDescent="0.3">
      <c r="A11" s="9"/>
      <c r="B11" t="str">
        <f t="shared" si="7"/>
        <v>Inc2</v>
      </c>
      <c r="C11" s="10">
        <f t="shared" si="0"/>
        <v>31300</v>
      </c>
      <c r="D11" s="2" t="str">
        <f t="shared" si="2"/>
        <v xml:space="preserve"> 18/09/26, </v>
      </c>
      <c r="E11" s="12" t="s">
        <v>11</v>
      </c>
      <c r="F11" s="3" t="s">
        <v>27</v>
      </c>
      <c r="G11" s="4" t="str">
        <f t="shared" si="3"/>
        <v>31300</v>
      </c>
      <c r="H11" s="4"/>
      <c r="I11" s="4">
        <f t="shared" si="8"/>
        <v>185377</v>
      </c>
      <c r="J11" s="13" t="str">
        <f t="shared" si="9"/>
        <v/>
      </c>
      <c r="K11" s="4" t="e">
        <f t="shared" si="6"/>
        <v>#VALUE!</v>
      </c>
    </row>
    <row r="12" spans="1:17" x14ac:dyDescent="0.3">
      <c r="A12" s="9"/>
      <c r="B12" t="str">
        <f t="shared" si="7"/>
        <v>Inc3</v>
      </c>
      <c r="C12" s="10">
        <f t="shared" si="0"/>
        <v>15550</v>
      </c>
      <c r="D12" s="2" t="str">
        <f t="shared" si="2"/>
        <v xml:space="preserve"> 18/09/26, </v>
      </c>
      <c r="E12" s="12" t="s">
        <v>11</v>
      </c>
      <c r="F12" s="3" t="s">
        <v>28</v>
      </c>
      <c r="G12" s="4" t="str">
        <f t="shared" si="3"/>
        <v>15550</v>
      </c>
      <c r="H12" s="4"/>
      <c r="I12" s="4">
        <f>I11+G12-H12</f>
        <v>200927</v>
      </c>
      <c r="J12" s="13" t="str">
        <f t="shared" si="9"/>
        <v/>
      </c>
      <c r="K12" s="4" t="e">
        <f t="shared" si="6"/>
        <v>#VALUE!</v>
      </c>
    </row>
    <row r="13" spans="1:17" x14ac:dyDescent="0.3">
      <c r="B13" t="s">
        <v>29</v>
      </c>
      <c r="C13" s="10">
        <v>10000</v>
      </c>
      <c r="D13" s="2">
        <v>46284</v>
      </c>
      <c r="E13" s="2" t="s">
        <v>20</v>
      </c>
      <c r="G13" s="4"/>
      <c r="H13" s="4"/>
      <c r="I13" s="4"/>
    </row>
    <row r="14" spans="1:17" x14ac:dyDescent="0.3">
      <c r="B14" t="s">
        <v>30</v>
      </c>
      <c r="C14" s="10">
        <v>10000</v>
      </c>
      <c r="D14" s="2">
        <v>46284</v>
      </c>
      <c r="E14" s="2" t="s">
        <v>20</v>
      </c>
      <c r="G14" s="4"/>
      <c r="H14" s="4"/>
      <c r="I14" s="4"/>
    </row>
    <row r="15" spans="1:17" x14ac:dyDescent="0.3">
      <c r="B15" t="s">
        <v>31</v>
      </c>
      <c r="C15" s="10">
        <v>20000</v>
      </c>
      <c r="D15" s="2">
        <v>46284</v>
      </c>
      <c r="E15" s="2" t="s">
        <v>20</v>
      </c>
      <c r="I15" s="4"/>
    </row>
    <row r="16" spans="1:17" x14ac:dyDescent="0.3">
      <c r="B16" t="s">
        <v>32</v>
      </c>
      <c r="C16" s="10">
        <v>20000</v>
      </c>
      <c r="D16" s="2">
        <v>46284</v>
      </c>
      <c r="E16" s="15"/>
      <c r="M16" t="s">
        <v>33</v>
      </c>
      <c r="N16" s="16">
        <f>H17-1900+SUM(C13:C16)</f>
        <v>150000</v>
      </c>
    </row>
    <row r="17" spans="2:11" x14ac:dyDescent="0.3">
      <c r="B17" t="s">
        <v>34</v>
      </c>
      <c r="C17" s="10"/>
      <c r="D17" s="2">
        <v>46284</v>
      </c>
      <c r="E17" s="15"/>
      <c r="F17" s="3" t="s">
        <v>35</v>
      </c>
      <c r="G17" s="4"/>
      <c r="H17" s="4">
        <f>90000+1900</f>
        <v>91900</v>
      </c>
      <c r="I17" s="4">
        <f>I12+G17-H17</f>
        <v>109027</v>
      </c>
    </row>
    <row r="18" spans="2:11" x14ac:dyDescent="0.3">
      <c r="B18" t="s">
        <v>32</v>
      </c>
      <c r="C18" s="10">
        <f>VALUE(LEFT(RIGHT(F18,LEN(F18)-FIND("reçu: ",F18,1)-LEN("reçu: ")+1),FIND(", nom: ",F18,1)-FIND("reçu: ",F18,1)-LEN("reçu: ")))-1300</f>
        <v>40000</v>
      </c>
      <c r="D18" s="2">
        <v>46284</v>
      </c>
      <c r="E18" s="2" t="s">
        <v>11</v>
      </c>
      <c r="F18" s="3" t="s">
        <v>36</v>
      </c>
      <c r="G18" s="4" t="str">
        <f t="shared" ref="G18" si="10">LEFT(RIGHT(F18,LEN(F18)-FIND("reçu: ",F18,1)-LEN("reçu: ")+1),FIND(", nom: ",F18,1)-FIND("reçu: ",F18,1)-LEN("reçu: "))</f>
        <v>41300</v>
      </c>
      <c r="H18" s="4"/>
      <c r="I18" s="4">
        <f>I17+G18-H18</f>
        <v>150327</v>
      </c>
      <c r="J18" s="13" t="str">
        <f t="shared" ref="J18:J19" si="11">LEFT(RIGHT(F18,LEN(F18)-FIND("solde: ",F18,1)-LEN("solde: ")+1),FIND(", ref: ",F18,1)-FIND("solde: ",F18,1)-LEN("solde: "))</f>
        <v>150327</v>
      </c>
      <c r="K18" s="4">
        <f t="shared" ref="K18:K19" si="12">I18-VALUE(J18)</f>
        <v>0</v>
      </c>
    </row>
    <row r="19" spans="2:11" x14ac:dyDescent="0.3">
      <c r="B19" t="s">
        <v>32</v>
      </c>
      <c r="C19" s="10"/>
      <c r="D19" s="2">
        <v>46284</v>
      </c>
      <c r="E19" s="15"/>
      <c r="F19" s="17" t="s">
        <v>37</v>
      </c>
      <c r="G19" s="4"/>
      <c r="H19" s="4">
        <f>20550+250</f>
        <v>20800</v>
      </c>
      <c r="I19" s="4">
        <f t="shared" ref="I19:I20" si="13">I18+G19-H19</f>
        <v>129527</v>
      </c>
      <c r="K19" s="4"/>
    </row>
    <row r="20" spans="2:11" x14ac:dyDescent="0.3">
      <c r="B20" s="18" t="s">
        <v>38</v>
      </c>
      <c r="C20" s="18"/>
      <c r="D20" s="19">
        <v>46286</v>
      </c>
      <c r="H20" s="4">
        <v>10000</v>
      </c>
      <c r="I20" s="4">
        <f t="shared" si="13"/>
        <v>119527</v>
      </c>
    </row>
    <row r="21" spans="2:11" x14ac:dyDescent="0.3">
      <c r="B21" t="str">
        <f t="shared" ref="B21:B22" si="14">LEFT(RIGHT(F21,LEN(F21)-FIND("nom: ",F21,1)-LEN("nom: ")+1),FIND(", tel: ",F21,1)-FIND("nom: ",F21,1)-LEN("nom: "))</f>
        <v>niry liva</v>
      </c>
      <c r="C21" s="10">
        <f t="shared" ref="C21:C22" si="15">VALUE(LEFT(RIGHT(F21,LEN(F21)-FIND("reçu: ",F21,1)-LEN("reçu: ")+1),FIND(", nom: ",F21,1)-FIND("reçu: ",F21,1)-LEN("reçu: ")))</f>
        <v>5150</v>
      </c>
      <c r="D21" s="2" t="str">
        <f t="shared" ref="D21:D22" si="16">LEFT(RIGHT(F21,LEN(F21)-FIND(", le:",F21,1)-LEN(", le")),11)</f>
        <v xml:space="preserve"> 21/09/26, </v>
      </c>
      <c r="E21" s="2" t="s">
        <v>11</v>
      </c>
      <c r="F21" s="3" t="s">
        <v>39</v>
      </c>
      <c r="G21" s="4" t="str">
        <f t="shared" ref="G21:G22" si="17">LEFT(RIGHT(F21,LEN(F21)-FIND("reçu: ",F21,1)-LEN("reçu: ")+1),FIND(", nom: ",F21,1)-FIND("reçu: ",F21,1)-LEN("reçu: "))</f>
        <v>5150</v>
      </c>
      <c r="H21" s="4"/>
      <c r="I21" s="4">
        <f>I20+G21-H21</f>
        <v>124677</v>
      </c>
      <c r="J21" s="3" t="str">
        <f t="shared" ref="J21:J22" si="18">LEFT(RIGHT(F21,LEN(F21)-FIND("solde: ",F21,1)-LEN("solde: ")+1),FIND(", ref: ",F21,1)-FIND("solde: ",F21,1)-LEN("solde: "))</f>
        <v>124677</v>
      </c>
      <c r="K21" s="4">
        <f t="shared" ref="K21:K22" si="19">I21-VALUE(J21)</f>
        <v>0</v>
      </c>
    </row>
    <row r="22" spans="2:11" x14ac:dyDescent="0.3">
      <c r="B22" t="str">
        <f t="shared" si="14"/>
        <v>eric jean michel</v>
      </c>
      <c r="C22" s="10">
        <f t="shared" si="15"/>
        <v>10000</v>
      </c>
      <c r="D22" s="2" t="str">
        <f t="shared" si="16"/>
        <v xml:space="preserve"> 21/09/26, </v>
      </c>
      <c r="E22" s="2" t="s">
        <v>11</v>
      </c>
      <c r="F22" s="3" t="s">
        <v>40</v>
      </c>
      <c r="G22" s="4" t="str">
        <f t="shared" si="17"/>
        <v>10000</v>
      </c>
      <c r="H22" s="4"/>
      <c r="I22" s="4">
        <f>I21+G22-H22</f>
        <v>134677</v>
      </c>
      <c r="J22" s="3" t="str">
        <f t="shared" si="18"/>
        <v>134677</v>
      </c>
      <c r="K22" s="4">
        <f t="shared" si="19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cotisDl_per ErRamls-merHaj old</vt:lpstr>
      <vt:lpstr>cotisDl_per ErRamls-merHa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andersen</dc:creator>
  <cp:lastModifiedBy>andersen</cp:lastModifiedBy>
  <dcterms:created xsi:type="dcterms:W3CDTF">2026-09-19T05:19:49Z</dcterms:created>
  <dcterms:modified xsi:type="dcterms:W3CDTF">2026-09-21T12:22:22Z</dcterms:modified>
</cp:coreProperties>
</file>